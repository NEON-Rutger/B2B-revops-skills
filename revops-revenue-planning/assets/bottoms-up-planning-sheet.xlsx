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s" sheetId="1" state="visible" r:id="rId1"/>
    <sheet xmlns:r="http://schemas.openxmlformats.org/officeDocument/2006/relationships" name="Funnel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FFFCC"/>
        <bgColor rgb="00FFFFCC"/>
      </patternFill>
    </fill>
    <fill>
      <patternFill patternType="solid">
        <fgColor rgb="00E8F4F0"/>
        <bgColor rgb="00E8F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9" fontId="0" fillId="0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3" fillId="4" borderId="1" pivotButton="0" quotePrefix="0" xfId="0"/>
    <xf numFmtId="3" fontId="3" fillId="4" borderId="1" pivotButton="0" quotePrefix="0" xfId="0"/>
    <xf numFmtId="1" fontId="0" fillId="3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Segment-Based Revenue Forecast</t>
        </is>
      </c>
    </row>
    <row r="2" ht="18" customHeight="1">
      <c r="A2" s="2" t="inlineStr">
        <is>
          <t>Input baseline ARR, growth rate %, and assumptions per segment. Forecast computed by formula.</t>
        </is>
      </c>
    </row>
    <row r="4">
      <c r="A4" s="1" t="inlineStr">
        <is>
          <t>REVENUE SEGMENTS</t>
        </is>
      </c>
    </row>
    <row r="5">
      <c r="A5" s="3" t="inlineStr">
        <is>
          <t>Segment</t>
        </is>
      </c>
      <c r="B5" s="3" t="inlineStr">
        <is>
          <t>Prior-Year ARR (EUR)</t>
        </is>
      </c>
      <c r="C5" s="3" t="inlineStr">
        <is>
          <t>Baseline % of Total</t>
        </is>
      </c>
      <c r="D5" s="3" t="inlineStr">
        <is>
          <t>Growth Rate %</t>
        </is>
      </c>
      <c r="E5" s="3" t="inlineStr">
        <is>
          <t>Forecasted ARR (EUR)</t>
        </is>
      </c>
    </row>
    <row r="6">
      <c r="A6" s="4" t="inlineStr">
        <is>
          <t>New Business SMB</t>
        </is>
      </c>
      <c r="B6" s="5" t="n">
        <v>1200000</v>
      </c>
      <c r="C6" s="6" t="n">
        <v>0.2</v>
      </c>
      <c r="D6" s="7" t="n">
        <v>0.08</v>
      </c>
      <c r="E6" s="8">
        <f>B6*(1+D6)</f>
        <v/>
      </c>
    </row>
    <row r="7">
      <c r="A7" s="4" t="inlineStr">
        <is>
          <t>New Business Mid-Market</t>
        </is>
      </c>
      <c r="B7" s="5" t="n">
        <v>2100000</v>
      </c>
      <c r="C7" s="6" t="n">
        <v>0.35</v>
      </c>
      <c r="D7" s="7" t="n">
        <v>0.1</v>
      </c>
      <c r="E7" s="8">
        <f>B7*(1+D7)</f>
        <v/>
      </c>
    </row>
    <row r="8">
      <c r="A8" s="4" t="inlineStr">
        <is>
          <t>Expansion (upsell/cross-sell)</t>
        </is>
      </c>
      <c r="B8" s="5" t="n">
        <v>1500000</v>
      </c>
      <c r="C8" s="6" t="n">
        <v>0.25</v>
      </c>
      <c r="D8" s="7" t="n">
        <v>0.12</v>
      </c>
      <c r="E8" s="8">
        <f>B8*(1+D8)</f>
        <v/>
      </c>
    </row>
    <row r="9">
      <c r="A9" s="4" t="inlineStr">
        <is>
          <t>Renewal (retention)</t>
        </is>
      </c>
      <c r="B9" s="5" t="n">
        <v>900000</v>
      </c>
      <c r="C9" s="6" t="n">
        <v>0.15</v>
      </c>
      <c r="D9" s="7" t="n">
        <v>0.02</v>
      </c>
      <c r="E9" s="8">
        <f>B9*(1+D9)</f>
        <v/>
      </c>
    </row>
    <row r="10">
      <c r="A10" s="4" t="inlineStr">
        <is>
          <t>Professional Services</t>
        </is>
      </c>
      <c r="B10" s="5" t="n">
        <v>300000</v>
      </c>
      <c r="C10" s="6" t="n">
        <v>0.05</v>
      </c>
      <c r="D10" s="7" t="n">
        <v>0.05</v>
      </c>
      <c r="E10" s="8">
        <f>B10*(1+D10)</f>
        <v/>
      </c>
    </row>
    <row r="11">
      <c r="A11" s="9" t="inlineStr">
        <is>
          <t>TOTAL FORECAST</t>
        </is>
      </c>
      <c r="B11" s="10">
        <f>SUM(B5:B9)</f>
        <v/>
      </c>
      <c r="E11" s="10">
        <f>SUM(E5:E9)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20" customHeight="1">
      <c r="A1" s="1" t="inlineStr">
        <is>
          <t>Sales Funnel Waterfall</t>
        </is>
      </c>
    </row>
    <row r="2" ht="18" customHeight="1">
      <c r="A2" s="2" t="inlineStr">
        <is>
          <t>Input starting opportunity count and conversion rates. Each stage computed from prior stage.</t>
        </is>
      </c>
    </row>
    <row r="4">
      <c r="A4" s="1" t="inlineStr">
        <is>
          <t>FUNNEL STAGE</t>
        </is>
      </c>
      <c r="B4" s="3" t="inlineStr">
        <is>
          <t>Count</t>
        </is>
      </c>
      <c r="C4" s="3" t="inlineStr">
        <is>
          <t>Conversion Rate %</t>
        </is>
      </c>
      <c r="D4" s="3" t="inlineStr">
        <is>
          <t>ARR Impact (EUR)</t>
        </is>
      </c>
    </row>
    <row r="5">
      <c r="A5" s="4" t="inlineStr">
        <is>
          <t>Leads Generated</t>
        </is>
      </c>
      <c r="B5" s="11" t="n">
        <v>1000</v>
      </c>
      <c r="D5" s="8" t="inlineStr"/>
    </row>
    <row r="6">
      <c r="A6" s="4" t="inlineStr">
        <is>
          <t>Marketing Qualified Leads</t>
        </is>
      </c>
      <c r="B6" s="12">
        <f>B5*C6</f>
        <v/>
      </c>
      <c r="C6" s="7" t="n">
        <v>0.25</v>
      </c>
      <c r="D6" s="8" t="inlineStr"/>
    </row>
    <row r="7">
      <c r="A7" s="4" t="inlineStr">
        <is>
          <t>Sales Qualified Opportunities</t>
        </is>
      </c>
      <c r="B7" s="12">
        <f>B6*C7</f>
        <v/>
      </c>
      <c r="C7" s="7" t="n">
        <v>0.6</v>
      </c>
      <c r="D7" s="8" t="inlineStr"/>
    </row>
    <row r="8">
      <c r="A8" s="4" t="inlineStr">
        <is>
          <t>Proposals Sent</t>
        </is>
      </c>
      <c r="B8" s="12">
        <f>B7*C8</f>
        <v/>
      </c>
      <c r="C8" s="7" t="n">
        <v>0.4</v>
      </c>
      <c r="D8" s="8" t="inlineStr"/>
    </row>
    <row r="9">
      <c r="A9" s="4" t="inlineStr">
        <is>
          <t>Closed Won</t>
        </is>
      </c>
      <c r="B9" s="12">
        <f>B8*C9</f>
        <v/>
      </c>
      <c r="C9" s="7" t="n">
        <v>0.5</v>
      </c>
      <c r="D9" s="8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</cols>
  <sheetData>
    <row r="1" ht="20" customHeight="1">
      <c r="A1" s="1" t="inlineStr">
        <is>
          <t>Bottoms-Up vs Top-Down Reconciliation</t>
        </is>
      </c>
    </row>
    <row r="2" ht="18" customHeight="1">
      <c r="A2" s="2" t="inlineStr">
        <is>
          <t>Compare bottoms-up segment forecast against top-down target. Input finance stretch. Plan of record owns gap.</t>
        </is>
      </c>
    </row>
    <row r="4">
      <c r="A4" s="1" t="inlineStr">
        <is>
          <t>FORECAST COMPARISON</t>
        </is>
      </c>
    </row>
    <row r="5">
      <c r="A5" s="3" t="inlineStr">
        <is>
          <t>Forecast Source</t>
        </is>
      </c>
      <c r="B5" s="3" t="inlineStr">
        <is>
          <t>Amount (EUR)</t>
        </is>
      </c>
      <c r="C5" s="3" t="inlineStr">
        <is>
          <t>% of Bottoms-Up</t>
        </is>
      </c>
    </row>
    <row r="6">
      <c r="A6" s="4" t="inlineStr">
        <is>
          <t>Bottoms-Up (Segments)</t>
        </is>
      </c>
      <c r="B6" s="8">
        <f>Segments!E10</f>
        <v/>
      </c>
      <c r="C6" s="6" t="inlineStr">
        <is>
          <t>100%</t>
        </is>
      </c>
    </row>
    <row r="7">
      <c r="A7" s="4" t="inlineStr">
        <is>
          <t>Finance Stretch Target</t>
        </is>
      </c>
      <c r="B7" s="5" t="n"/>
      <c r="C7" s="6">
        <f>B7/B6</f>
        <v/>
      </c>
    </row>
    <row r="8">
      <c r="A8" s="4" t="inlineStr">
        <is>
          <t>Plan of Record</t>
        </is>
      </c>
      <c r="B8" s="5" t="n"/>
      <c r="C8" s="6">
        <f>B8/B6</f>
        <v/>
      </c>
    </row>
    <row r="10">
      <c r="A10" s="1" t="inlineStr">
        <is>
          <t>PLAN VERSION RECORD</t>
        </is>
      </c>
    </row>
    <row r="11">
      <c r="A11" s="3" t="inlineStr">
        <is>
          <t>Plan Version</t>
        </is>
      </c>
      <c r="B11" s="3" t="inlineStr">
        <is>
          <t>Amount (EUR)</t>
        </is>
      </c>
      <c r="C11" s="3" t="inlineStr">
        <is>
          <t>Date Created</t>
        </is>
      </c>
      <c r="D11" s="3" t="inlineStr">
        <is>
          <t>Owner</t>
        </is>
      </c>
    </row>
    <row r="12">
      <c r="A12" s="4" t="inlineStr">
        <is>
          <t>Bottoms-Up Original</t>
        </is>
      </c>
      <c r="B12" s="8">
        <f>B6</f>
        <v/>
      </c>
      <c r="C12" s="13" t="n"/>
      <c r="D12" s="4" t="n"/>
    </row>
    <row r="13">
      <c r="A13" s="4" t="inlineStr">
        <is>
          <t>Finance Stretch</t>
        </is>
      </c>
      <c r="B13" s="8">
        <f>B7</f>
        <v/>
      </c>
      <c r="C13" s="13" t="n"/>
      <c r="D13" s="4" t="n"/>
    </row>
    <row r="14">
      <c r="A14" s="4" t="inlineStr">
        <is>
          <t>Plan of Record</t>
        </is>
      </c>
      <c r="B14" s="8">
        <f>B8</f>
        <v/>
      </c>
      <c r="C14" s="14" t="n"/>
      <c r="D14" s="15" t="n"/>
    </row>
    <row r="17">
      <c r="A17" s="1" t="inlineStr">
        <is>
          <t>NAMED SCENARIOS</t>
        </is>
      </c>
    </row>
    <row r="18">
      <c r="A18" s="3" t="inlineStr">
        <is>
          <t>Scenario Name</t>
        </is>
      </c>
      <c r="B18" s="3" t="inlineStr">
        <is>
          <t>Owner</t>
        </is>
      </c>
      <c r="C18" s="3" t="inlineStr">
        <is>
          <t>Amount (EUR)</t>
        </is>
      </c>
      <c r="D18" s="3" t="inlineStr">
        <is>
          <t>Confidence Level</t>
        </is>
      </c>
    </row>
    <row r="19">
      <c r="A19" s="4" t="n"/>
      <c r="B19" s="15" t="n"/>
      <c r="C19" s="5" t="n"/>
      <c r="D19" s="16" t="n"/>
    </row>
    <row r="20">
      <c r="A20" s="4" t="n"/>
      <c r="B20" s="15" t="n"/>
      <c r="C20" s="5" t="n"/>
      <c r="D20" s="16" t="n"/>
    </row>
    <row r="21">
      <c r="A21" s="4" t="n"/>
      <c r="B21" s="15" t="n"/>
      <c r="C21" s="5" t="n"/>
      <c r="D21" s="16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2026-07-14T18:58:20Z</dcterms:created>
  <dcterms:modified xmlns:dcterms="http://purl.org/dc/terms/" xmlns:xsi="http://www.w3.org/2001/XMLSchema-instance" xsi:type="dcterms:W3CDTF">2026-07-14T18:58:20Z</dcterms:modified>
</cp:coreProperties>
</file>