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apacity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FFFFCC"/>
        <bgColor rgb="00FFFFCC"/>
      </patternFill>
    </fill>
    <fill>
      <patternFill patternType="solid">
        <fgColor rgb="00E8F4F0"/>
        <bgColor rgb="00E8F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right" vertical="center"/>
    </xf>
    <xf numFmtId="1" fontId="0" fillId="3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3" fillId="4" borderId="0" pivotButton="0" quotePrefix="0" xfId="0"/>
    <xf numFmtId="3" fontId="3" fillId="4" borderId="1" applyAlignment="1" pivotButton="0" quotePrefix="0" xfId="0">
      <alignment horizontal="right" vertical="center"/>
    </xf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</cols>
  <sheetData>
    <row r="1" ht="20" customHeight="1">
      <c r="A1" s="1" t="inlineStr">
        <is>
          <t>Capacity Model Assumptions</t>
        </is>
      </c>
    </row>
    <row r="2" ht="18" customHeight="1">
      <c r="A2" s="2" t="inlineStr">
        <is>
          <t>Only change cells highlighted in yellow below. Formulas in Capacity sheet reference these assumptions.</t>
        </is>
      </c>
    </row>
    <row r="4">
      <c r="A4" s="1" t="inlineStr">
        <is>
          <t>HEADCOUNT BY ROLE &amp; TIER</t>
        </is>
      </c>
    </row>
    <row r="5">
      <c r="A5" s="3" t="inlineStr">
        <is>
          <t>Role</t>
        </is>
      </c>
      <c r="B5" s="3" t="inlineStr">
        <is>
          <t>Tier</t>
        </is>
      </c>
      <c r="C5" s="3" t="inlineStr">
        <is>
          <t>Current Count</t>
        </is>
      </c>
      <c r="D5" s="3" t="inlineStr">
        <is>
          <t>New Hires</t>
        </is>
      </c>
      <c r="E5" s="3" t="inlineStr">
        <is>
          <t>First Hire Start Date</t>
        </is>
      </c>
      <c r="F5" s="3" t="inlineStr">
        <is>
          <t>Ramp Months</t>
        </is>
      </c>
    </row>
    <row r="6">
      <c r="A6" s="4" t="inlineStr">
        <is>
          <t>Account Executive</t>
        </is>
      </c>
      <c r="B6" s="4" t="inlineStr">
        <is>
          <t>Mid-Market</t>
        </is>
      </c>
      <c r="C6" s="5" t="n">
        <v>5</v>
      </c>
      <c r="D6" s="5" t="n">
        <v>2</v>
      </c>
      <c r="E6" s="6" t="inlineStr">
        <is>
          <t>2026-01-15</t>
        </is>
      </c>
      <c r="F6" s="5" t="n">
        <v>6</v>
      </c>
    </row>
    <row r="7">
      <c r="A7" s="4" t="inlineStr">
        <is>
          <t>Account Executive</t>
        </is>
      </c>
      <c r="B7" s="4" t="inlineStr">
        <is>
          <t>Enterprise</t>
        </is>
      </c>
      <c r="C7" s="5" t="n">
        <v>3</v>
      </c>
      <c r="D7" s="5" t="n">
        <v>1</v>
      </c>
      <c r="E7" s="6" t="inlineStr">
        <is>
          <t>2026-02-01</t>
        </is>
      </c>
      <c r="F7" s="5" t="n">
        <v>6</v>
      </c>
    </row>
    <row r="8">
      <c r="A8" s="4" t="inlineStr">
        <is>
          <t>SDR</t>
        </is>
      </c>
      <c r="B8" s="4" t="inlineStr">
        <is>
          <t>Pipeline Gen</t>
        </is>
      </c>
      <c r="C8" s="5" t="n">
        <v>4</v>
      </c>
      <c r="D8" s="5" t="n">
        <v>1</v>
      </c>
      <c r="E8" s="6" t="inlineStr">
        <is>
          <t>2026-01-15</t>
        </is>
      </c>
      <c r="F8" s="5" t="n">
        <v>3</v>
      </c>
    </row>
    <row r="9">
      <c r="A9" s="4" t="inlineStr">
        <is>
          <t>Sales Engineer</t>
        </is>
      </c>
      <c r="B9" s="4" t="inlineStr">
        <is>
          <t>Support</t>
        </is>
      </c>
      <c r="C9" s="5" t="n">
        <v>2</v>
      </c>
      <c r="D9" s="5" t="n">
        <v>0</v>
      </c>
      <c r="E9" s="6" t="n"/>
      <c r="F9" s="5" t="n">
        <v>2</v>
      </c>
    </row>
    <row r="11">
      <c r="A11" s="1" t="inlineStr">
        <is>
          <t>QUOTA &amp; ACV BY TIER</t>
        </is>
      </c>
    </row>
    <row r="12">
      <c r="A12" s="3" t="inlineStr">
        <is>
          <t>Tier</t>
        </is>
      </c>
      <c r="B12" s="3" t="inlineStr">
        <is>
          <t>Annual Quota per Rep (EUR)</t>
        </is>
      </c>
      <c r="C12" s="3" t="inlineStr">
        <is>
          <t>Average Contract Value (EUR)</t>
        </is>
      </c>
    </row>
    <row r="13">
      <c r="A13" s="5" t="inlineStr">
        <is>
          <t>Mid-Market</t>
        </is>
      </c>
      <c r="B13" s="7" t="n">
        <v>850000</v>
      </c>
      <c r="C13" s="7" t="n">
        <v>85000</v>
      </c>
    </row>
    <row r="14">
      <c r="A14" s="5" t="inlineStr">
        <is>
          <t>Enterprise</t>
        </is>
      </c>
      <c r="B14" s="7" t="n">
        <v>1200000</v>
      </c>
      <c r="C14" s="7" t="n">
        <v>250000</v>
      </c>
    </row>
    <row r="15">
      <c r="A15" s="5" t="inlineStr">
        <is>
          <t>Pipeline Gen</t>
        </is>
      </c>
      <c r="B15" s="7" t="n">
        <v>400000</v>
      </c>
      <c r="C15" s="7" t="n"/>
    </row>
    <row r="17">
      <c r="A17" s="1" t="inlineStr">
        <is>
          <t>RAMP PROFILE (% of Full Quota per Month)</t>
        </is>
      </c>
    </row>
    <row r="18">
      <c r="A18" s="3" t="inlineStr">
        <is>
          <t>Month in Ramp</t>
        </is>
      </c>
      <c r="B18" s="3" t="inlineStr">
        <is>
          <t>Account Executive %</t>
        </is>
      </c>
      <c r="C18" s="3" t="inlineStr">
        <is>
          <t>SDR %</t>
        </is>
      </c>
      <c r="D18" s="3" t="inlineStr">
        <is>
          <t>Sales Engineer %</t>
        </is>
      </c>
    </row>
    <row r="19">
      <c r="A19" s="8" t="n">
        <v>1</v>
      </c>
      <c r="B19" s="9" t="n">
        <v>0</v>
      </c>
      <c r="C19" s="9" t="n">
        <v>0.2</v>
      </c>
      <c r="D19" s="9" t="n">
        <v>0.5</v>
      </c>
    </row>
    <row r="20">
      <c r="A20" s="8" t="n">
        <v>2</v>
      </c>
      <c r="B20" s="9" t="n">
        <v>0.25</v>
      </c>
      <c r="C20" s="9" t="n">
        <v>0.6</v>
      </c>
      <c r="D20" s="9" t="n">
        <v>1</v>
      </c>
    </row>
    <row r="21">
      <c r="A21" s="8" t="n">
        <v>3</v>
      </c>
      <c r="B21" s="9" t="n">
        <v>0.5</v>
      </c>
      <c r="C21" s="9" t="n">
        <v>1</v>
      </c>
      <c r="D21" s="9" t="n"/>
    </row>
    <row r="22">
      <c r="A22" s="8" t="n">
        <v>4</v>
      </c>
      <c r="B22" s="9" t="n">
        <v>0.7</v>
      </c>
      <c r="C22" s="9" t="n"/>
      <c r="D22" s="9" t="n"/>
    </row>
    <row r="23">
      <c r="A23" s="8" t="n">
        <v>5</v>
      </c>
      <c r="B23" s="9" t="n">
        <v>0.85</v>
      </c>
      <c r="C23" s="9" t="n"/>
      <c r="D23" s="9" t="n"/>
    </row>
    <row r="24">
      <c r="A24" s="8" t="n">
        <v>6</v>
      </c>
      <c r="B24" s="9" t="n">
        <v>1</v>
      </c>
      <c r="C24" s="9" t="n"/>
      <c r="D24" s="9" t="n"/>
    </row>
    <row r="26">
      <c r="A26" s="1" t="inlineStr">
        <is>
          <t>WORKING CALENDAR</t>
        </is>
      </c>
    </row>
    <row r="27">
      <c r="A27" t="inlineStr">
        <is>
          <t>Working weeks per year</t>
        </is>
      </c>
      <c r="B27" s="10" t="n">
        <v>46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20" customHeight="1">
      <c r="A1" s="1" t="inlineStr">
        <is>
          <t>Sales Team Monthly Capacity (EUR)</t>
        </is>
      </c>
    </row>
    <row r="2" ht="18" customHeight="1">
      <c r="A2" s="2" t="inlineStr">
        <is>
          <t>Formulas read ramp profile and quota from Assumptions. Enter rep details above. Monthly totals are computed.</t>
        </is>
      </c>
    </row>
    <row r="4">
      <c r="A4" s="3" t="inlineStr">
        <is>
          <t>Rep Name</t>
        </is>
      </c>
      <c r="B4" s="3" t="inlineStr">
        <is>
          <t>Tier</t>
        </is>
      </c>
      <c r="C4" s="3" t="inlineStr">
        <is>
          <t>Start Date</t>
        </is>
      </c>
      <c r="D4" s="3" t="inlineStr">
        <is>
          <t>Ramp Months</t>
        </is>
      </c>
      <c r="E4" s="3" t="inlineStr">
        <is>
          <t>Jan</t>
        </is>
      </c>
      <c r="F4" s="3" t="inlineStr">
        <is>
          <t>Feb</t>
        </is>
      </c>
      <c r="G4" s="3" t="inlineStr">
        <is>
          <t>Mar</t>
        </is>
      </c>
      <c r="H4" s="3" t="inlineStr">
        <is>
          <t>Apr</t>
        </is>
      </c>
      <c r="I4" s="3" t="inlineStr">
        <is>
          <t>May</t>
        </is>
      </c>
      <c r="J4" s="3" t="inlineStr">
        <is>
          <t>Jun</t>
        </is>
      </c>
      <c r="K4" s="3" t="inlineStr">
        <is>
          <t>Jul</t>
        </is>
      </c>
      <c r="L4" s="3" t="inlineStr">
        <is>
          <t>Aug</t>
        </is>
      </c>
      <c r="M4" s="3" t="inlineStr">
        <is>
          <t>Sep</t>
        </is>
      </c>
      <c r="N4" s="3" t="inlineStr">
        <is>
          <t>Oct</t>
        </is>
      </c>
      <c r="O4" s="3" t="inlineStr">
        <is>
          <t>Nov</t>
        </is>
      </c>
      <c r="P4" s="3" t="inlineStr">
        <is>
          <t>Dec</t>
        </is>
      </c>
      <c r="Q4" s="3" t="inlineStr">
        <is>
          <t>Year Total</t>
        </is>
      </c>
    </row>
    <row r="5">
      <c r="A5" s="5" t="inlineStr">
        <is>
          <t>Sarah Chen</t>
        </is>
      </c>
      <c r="B5" s="8" t="inlineStr">
        <is>
          <t>Mid-Market</t>
        </is>
      </c>
      <c r="C5" s="11" t="inlineStr">
        <is>
          <t>2025-06-01</t>
        </is>
      </c>
      <c r="D5" s="12" t="n">
        <v>6</v>
      </c>
      <c r="E5" s="13">
        <f>Assumptions!B12 * (VLOOKUP(Mid-Market, Assumptions!B13:D19, 2, FALSE))</f>
        <v/>
      </c>
      <c r="F5" s="13">
        <f>Assumptions!B12 * (VLOOKUP(Mid-Market, Assumptions!B13:D19, 3, FALSE))</f>
        <v/>
      </c>
      <c r="G5" s="13">
        <f>Assumptions!B12 * (VLOOKUP(Mid-Market, Assumptions!B13:D19, 4, FALSE))</f>
        <v/>
      </c>
      <c r="H5" s="13">
        <f>Assumptions!B12 * (VLOOKUP(Mid-Market, Assumptions!B13:D19, 2, FALSE))</f>
        <v/>
      </c>
      <c r="I5" s="13">
        <f>Assumptions!B12 * (VLOOKUP(Mid-Market, Assumptions!B13:D19, 3, FALSE))</f>
        <v/>
      </c>
      <c r="J5" s="13">
        <f>Assumptions!B12 * (VLOOKUP(Mid-Market, Assumptions!B13:D19, 4, FALSE))</f>
        <v/>
      </c>
      <c r="K5" s="13">
        <f>VLOOKUP(Mid-Market, Assumptions!C7:C9, 2, FALSE) / 12</f>
        <v/>
      </c>
      <c r="L5" s="13">
        <f>VLOOKUP(Mid-Market, Assumptions!C7:C9, 2, FALSE) / 12</f>
        <v/>
      </c>
      <c r="M5" s="13">
        <f>VLOOKUP(Mid-Market, Assumptions!C7:C9, 2, FALSE) / 12</f>
        <v/>
      </c>
      <c r="N5" s="13">
        <f>VLOOKUP(Mid-Market, Assumptions!C7:C9, 2, FALSE) / 12</f>
        <v/>
      </c>
      <c r="O5" s="13">
        <f>VLOOKUP(Mid-Market, Assumptions!C7:C9, 2, FALSE) / 12</f>
        <v/>
      </c>
      <c r="P5" s="13">
        <f>VLOOKUP(Mid-Market, Assumptions!C7:C9, 2, FALSE) / 12</f>
        <v/>
      </c>
      <c r="Q5" s="14">
        <f>SUM(E5:P5)</f>
        <v/>
      </c>
    </row>
    <row r="6">
      <c r="A6" s="5" t="inlineStr">
        <is>
          <t>James North</t>
        </is>
      </c>
      <c r="B6" s="8" t="inlineStr">
        <is>
          <t>Mid-Market</t>
        </is>
      </c>
      <c r="C6" s="11" t="inlineStr">
        <is>
          <t>2026-01-15</t>
        </is>
      </c>
      <c r="D6" s="12" t="n">
        <v>6</v>
      </c>
      <c r="E6" s="13">
        <f>Assumptions!B12 * (VLOOKUP(Mid-Market, Assumptions!B13:D19, 2, FALSE))</f>
        <v/>
      </c>
      <c r="F6" s="13">
        <f>Assumptions!B12 * (VLOOKUP(Mid-Market, Assumptions!B13:D19, 3, FALSE))</f>
        <v/>
      </c>
      <c r="G6" s="13">
        <f>Assumptions!B12 * (VLOOKUP(Mid-Market, Assumptions!B13:D19, 4, FALSE))</f>
        <v/>
      </c>
      <c r="H6" s="13">
        <f>Assumptions!B12 * (VLOOKUP(Mid-Market, Assumptions!B13:D19, 2, FALSE))</f>
        <v/>
      </c>
      <c r="I6" s="13">
        <f>Assumptions!B12 * (VLOOKUP(Mid-Market, Assumptions!B13:D19, 3, FALSE))</f>
        <v/>
      </c>
      <c r="J6" s="13">
        <f>Assumptions!B12 * (VLOOKUP(Mid-Market, Assumptions!B13:D19, 4, FALSE))</f>
        <v/>
      </c>
      <c r="K6" s="13">
        <f>VLOOKUP(Mid-Market, Assumptions!C7:C9, 2, FALSE) / 12</f>
        <v/>
      </c>
      <c r="L6" s="13">
        <f>VLOOKUP(Mid-Market, Assumptions!C7:C9, 2, FALSE) / 12</f>
        <v/>
      </c>
      <c r="M6" s="13">
        <f>VLOOKUP(Mid-Market, Assumptions!C7:C9, 2, FALSE) / 12</f>
        <v/>
      </c>
      <c r="N6" s="13">
        <f>VLOOKUP(Mid-Market, Assumptions!C7:C9, 2, FALSE) / 12</f>
        <v/>
      </c>
      <c r="O6" s="13">
        <f>VLOOKUP(Mid-Market, Assumptions!C7:C9, 2, FALSE) / 12</f>
        <v/>
      </c>
      <c r="P6" s="13">
        <f>VLOOKUP(Mid-Market, Assumptions!C7:C9, 2, FALSE) / 12</f>
        <v/>
      </c>
      <c r="Q6" s="14">
        <f>SUM(E6:P6)</f>
        <v/>
      </c>
    </row>
    <row r="7">
      <c r="A7" s="5" t="inlineStr">
        <is>
          <t>Maria Silva</t>
        </is>
      </c>
      <c r="B7" s="8" t="inlineStr">
        <is>
          <t>Enterprise</t>
        </is>
      </c>
      <c r="C7" s="11" t="inlineStr">
        <is>
          <t>2025-09-01</t>
        </is>
      </c>
      <c r="D7" s="12" t="n">
        <v>6</v>
      </c>
      <c r="E7" s="13">
        <f>Assumptions!B12 * (VLOOKUP(Enterprise, Assumptions!B13:D19, 2, FALSE))</f>
        <v/>
      </c>
      <c r="F7" s="13">
        <f>Assumptions!B12 * (VLOOKUP(Enterprise, Assumptions!B13:D19, 3, FALSE))</f>
        <v/>
      </c>
      <c r="G7" s="13">
        <f>Assumptions!B12 * (VLOOKUP(Enterprise, Assumptions!B13:D19, 4, FALSE))</f>
        <v/>
      </c>
      <c r="H7" s="13">
        <f>Assumptions!B12 * (VLOOKUP(Enterprise, Assumptions!B13:D19, 2, FALSE))</f>
        <v/>
      </c>
      <c r="I7" s="13">
        <f>Assumptions!B12 * (VLOOKUP(Enterprise, Assumptions!B13:D19, 3, FALSE))</f>
        <v/>
      </c>
      <c r="J7" s="13">
        <f>Assumptions!B12 * (VLOOKUP(Enterprise, Assumptions!B13:D19, 4, FALSE))</f>
        <v/>
      </c>
      <c r="K7" s="13">
        <f>VLOOKUP(Enterprise, Assumptions!C7:C9, 2, FALSE) / 12</f>
        <v/>
      </c>
      <c r="L7" s="13">
        <f>VLOOKUP(Enterprise, Assumptions!C7:C9, 2, FALSE) / 12</f>
        <v/>
      </c>
      <c r="M7" s="13">
        <f>VLOOKUP(Enterprise, Assumptions!C7:C9, 2, FALSE) / 12</f>
        <v/>
      </c>
      <c r="N7" s="13">
        <f>VLOOKUP(Enterprise, Assumptions!C7:C9, 2, FALSE) / 12</f>
        <v/>
      </c>
      <c r="O7" s="13">
        <f>VLOOKUP(Enterprise, Assumptions!C7:C9, 2, FALSE) / 12</f>
        <v/>
      </c>
      <c r="P7" s="13">
        <f>VLOOKUP(Enterprise, Assumptions!C7:C9, 2, FALSE) / 12</f>
        <v/>
      </c>
      <c r="Q7" s="14">
        <f>SUM(E7:P7)</f>
        <v/>
      </c>
    </row>
    <row r="8">
      <c r="A8" s="5" t="inlineStr">
        <is>
          <t>Alex Khan</t>
        </is>
      </c>
      <c r="B8" s="8" t="inlineStr">
        <is>
          <t>Enterprise</t>
        </is>
      </c>
      <c r="C8" s="11" t="inlineStr">
        <is>
          <t>2026-02-01</t>
        </is>
      </c>
      <c r="D8" s="12" t="n">
        <v>6</v>
      </c>
      <c r="E8" s="13">
        <f>Assumptions!B12 * (VLOOKUP(Enterprise, Assumptions!B13:D19, 2, FALSE))</f>
        <v/>
      </c>
      <c r="F8" s="13">
        <f>Assumptions!B12 * (VLOOKUP(Enterprise, Assumptions!B13:D19, 3, FALSE))</f>
        <v/>
      </c>
      <c r="G8" s="13">
        <f>Assumptions!B12 * (VLOOKUP(Enterprise, Assumptions!B13:D19, 4, FALSE))</f>
        <v/>
      </c>
      <c r="H8" s="13">
        <f>Assumptions!B12 * (VLOOKUP(Enterprise, Assumptions!B13:D19, 2, FALSE))</f>
        <v/>
      </c>
      <c r="I8" s="13">
        <f>Assumptions!B12 * (VLOOKUP(Enterprise, Assumptions!B13:D19, 3, FALSE))</f>
        <v/>
      </c>
      <c r="J8" s="13">
        <f>Assumptions!B12 * (VLOOKUP(Enterprise, Assumptions!B13:D19, 4, FALSE))</f>
        <v/>
      </c>
      <c r="K8" s="13">
        <f>VLOOKUP(Enterprise, Assumptions!C7:C9, 2, FALSE) / 12</f>
        <v/>
      </c>
      <c r="L8" s="13">
        <f>VLOOKUP(Enterprise, Assumptions!C7:C9, 2, FALSE) / 12</f>
        <v/>
      </c>
      <c r="M8" s="13">
        <f>VLOOKUP(Enterprise, Assumptions!C7:C9, 2, FALSE) / 12</f>
        <v/>
      </c>
      <c r="N8" s="13">
        <f>VLOOKUP(Enterprise, Assumptions!C7:C9, 2, FALSE) / 12</f>
        <v/>
      </c>
      <c r="O8" s="13">
        <f>VLOOKUP(Enterprise, Assumptions!C7:C9, 2, FALSE) / 12</f>
        <v/>
      </c>
      <c r="P8" s="13">
        <f>VLOOKUP(Enterprise, Assumptions!C7:C9, 2, FALSE) / 12</f>
        <v/>
      </c>
      <c r="Q8" s="14">
        <f>SUM(E8:P8)</f>
        <v/>
      </c>
    </row>
    <row r="9">
      <c r="A9" s="15" t="inlineStr">
        <is>
          <t>TOTAL TEAM CAPACITY</t>
        </is>
      </c>
      <c r="E9" s="16">
        <f>SUM(E5:E8)</f>
        <v/>
      </c>
      <c r="F9" s="16">
        <f>SUM(F5:F8)</f>
        <v/>
      </c>
      <c r="G9" s="16">
        <f>SUM(G5:G8)</f>
        <v/>
      </c>
      <c r="H9" s="16">
        <f>SUM(H5:H8)</f>
        <v/>
      </c>
      <c r="I9" s="16">
        <f>SUM(I5:I8)</f>
        <v/>
      </c>
      <c r="J9" s="16">
        <f>SUM(J5:J8)</f>
        <v/>
      </c>
      <c r="K9" s="16">
        <f>SUM(K5:K8)</f>
        <v/>
      </c>
      <c r="L9" s="16">
        <f>SUM(L5:L8)</f>
        <v/>
      </c>
      <c r="M9" s="16">
        <f>SUM(M5:M8)</f>
        <v/>
      </c>
      <c r="N9" s="16">
        <f>SUM(N5:N8)</f>
        <v/>
      </c>
      <c r="O9" s="16">
        <f>SUM(O5:O8)</f>
        <v/>
      </c>
      <c r="P9" s="16">
        <f>SUM(P5:P8)</f>
        <v/>
      </c>
      <c r="Q9" s="16">
        <f>SUM(E9:P9)</f>
        <v/>
      </c>
    </row>
  </sheetData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 ht="20" customHeight="1">
      <c r="A1" s="1" t="inlineStr">
        <is>
          <t>Capacity Model Summary</t>
        </is>
      </c>
    </row>
    <row r="2" ht="18" customHeight="1">
      <c r="A2" s="2" t="inlineStr">
        <is>
          <t>Summary metrics computed from Capacity sheet. All values are formulas.</t>
        </is>
      </c>
    </row>
    <row r="4">
      <c r="A4" s="1" t="inlineStr">
        <is>
          <t>BOTTOMS-UP CAPACITY BY TIER</t>
        </is>
      </c>
    </row>
    <row r="5">
      <c r="A5" s="3" t="inlineStr">
        <is>
          <t>Tier</t>
        </is>
      </c>
      <c r="B5" s="3" t="inlineStr">
        <is>
          <t>Annual Capacity (EUR)</t>
        </is>
      </c>
    </row>
    <row r="6">
      <c r="A6" s="4" t="inlineStr">
        <is>
          <t>Mid-Market</t>
        </is>
      </c>
      <c r="B6" s="13">
        <f>SUMIF(Capacity!B:B,"Mid-Market",Capacity!Q:Q)</f>
        <v/>
      </c>
    </row>
    <row r="7">
      <c r="A7" s="4" t="inlineStr">
        <is>
          <t>Enterprise</t>
        </is>
      </c>
      <c r="B7" s="13">
        <f>SUMIF(Capacity!B:B,"Enterprise",Capacity!Q:Q)</f>
        <v/>
      </c>
    </row>
    <row r="8">
      <c r="A8" s="4" t="inlineStr">
        <is>
          <t>Pipeline Gen</t>
        </is>
      </c>
      <c r="B8" s="13">
        <f>SUMIF(Capacity!B:B,"Pipeline Gen",Capacity!Q:Q)</f>
        <v/>
      </c>
    </row>
    <row r="9">
      <c r="A9" s="17" t="inlineStr">
        <is>
          <t>TOTAL CAPACITY</t>
        </is>
      </c>
      <c r="B9" s="16">
        <f>SUM(B5:B7)</f>
        <v/>
      </c>
    </row>
    <row r="12">
      <c r="A12" s="1" t="inlineStr">
        <is>
          <t>KEY ASSUMPTIONS</t>
        </is>
      </c>
    </row>
    <row r="13">
      <c r="A13" s="4" t="inlineStr">
        <is>
          <t>Working weeks per year</t>
        </is>
      </c>
      <c r="B13" s="13">
        <f>Assumptions!B12</f>
        <v/>
      </c>
    </row>
    <row r="14">
      <c r="A14" s="4" t="inlineStr">
        <is>
          <t>Mid-Market annual quota</t>
        </is>
      </c>
      <c r="B14" s="13">
        <f>Assumptions!B7</f>
        <v/>
      </c>
    </row>
    <row r="15">
      <c r="A15" s="4" t="inlineStr">
        <is>
          <t>Enterprise annual quota</t>
        </is>
      </c>
      <c r="B15" s="13">
        <f>Assumptions!B8</f>
        <v/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2026-07-14T18:58:20Z</dcterms:created>
  <dcterms:modified xmlns:dcterms="http://purl.org/dc/terms/" xmlns:xsi="http://www.w3.org/2001/XMLSchema-instance" xsi:type="dcterms:W3CDTF">2026-07-14T18:58:20Z</dcterms:modified>
</cp:coreProperties>
</file>